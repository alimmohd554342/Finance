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C9F12E-D825-4291-A093-E06304E12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e Data" sheetId="1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G19" i="3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<sst xmlns="http://schemas.openxmlformats.org/spreadsheetml/2006/main" count="96" uniqueCount="70">
  <si>
    <t>Transaction ID</t>
  </si>
  <si>
    <t>Date</t>
  </si>
  <si>
    <t>Customer ID</t>
  </si>
  <si>
    <t>Customer Name</t>
  </si>
  <si>
    <t>City</t>
  </si>
  <si>
    <t>Month</t>
  </si>
  <si>
    <t>Product</t>
  </si>
  <si>
    <t>Sales</t>
  </si>
  <si>
    <t>Expenses</t>
  </si>
  <si>
    <t>Profit</t>
  </si>
  <si>
    <t>Investment Cash Flow</t>
  </si>
  <si>
    <t>2026-01-05</t>
  </si>
  <si>
    <t>C001</t>
  </si>
  <si>
    <t>Aarav</t>
  </si>
  <si>
    <t>Mumbai</t>
  </si>
  <si>
    <t>January</t>
  </si>
  <si>
    <t>Loans</t>
  </si>
  <si>
    <t>2026-01-12</t>
  </si>
  <si>
    <t>C002</t>
  </si>
  <si>
    <t>Diya</t>
  </si>
  <si>
    <t>Delhi</t>
  </si>
  <si>
    <t>Insurance</t>
  </si>
  <si>
    <t>2026-01-18</t>
  </si>
  <si>
    <t>C003</t>
  </si>
  <si>
    <t>Kabir</t>
  </si>
  <si>
    <t>Investments</t>
  </si>
  <si>
    <t>2026-02-03</t>
  </si>
  <si>
    <t>C004</t>
  </si>
  <si>
    <t>Ananya</t>
  </si>
  <si>
    <t>Bhopal</t>
  </si>
  <si>
    <t>February</t>
  </si>
  <si>
    <t>2026-02-10</t>
  </si>
  <si>
    <t>C005</t>
  </si>
  <si>
    <t>Rohan</t>
  </si>
  <si>
    <t>2026-02-19</t>
  </si>
  <si>
    <t>C006</t>
  </si>
  <si>
    <t>Meera</t>
  </si>
  <si>
    <t>2026-03-04</t>
  </si>
  <si>
    <t>C007</t>
  </si>
  <si>
    <t>Vikram</t>
  </si>
  <si>
    <t>March</t>
  </si>
  <si>
    <t>2026-03-11</t>
  </si>
  <si>
    <t>C008</t>
  </si>
  <si>
    <t>Sara</t>
  </si>
  <si>
    <t>2026-03-20</t>
  </si>
  <si>
    <t>C009</t>
  </si>
  <si>
    <t>Aditya</t>
  </si>
  <si>
    <t>2026-04-02</t>
  </si>
  <si>
    <t>C010</t>
  </si>
  <si>
    <t>Ishita</t>
  </si>
  <si>
    <t>April</t>
  </si>
  <si>
    <t>2026-04-14</t>
  </si>
  <si>
    <t>C011</t>
  </si>
  <si>
    <t>Arjun</t>
  </si>
  <si>
    <t>2026-04-23</t>
  </si>
  <si>
    <t>C012</t>
  </si>
  <si>
    <t>Nisha</t>
  </si>
  <si>
    <t>PMT</t>
  </si>
  <si>
    <t>XIRR</t>
  </si>
  <si>
    <t>If</t>
  </si>
  <si>
    <t>Sumifs</t>
  </si>
  <si>
    <t>Vlookup</t>
  </si>
  <si>
    <t>Which transactions are profitable?</t>
  </si>
  <si>
    <t>How much did Mumbai generate in January?</t>
  </si>
  <si>
    <t>Find the sales of customer C006.</t>
  </si>
  <si>
    <t>What would be the EMI on a ₹5 lakh loan at 10% for 5 years?</t>
  </si>
  <si>
    <t>What annualized return did the investment generate?</t>
  </si>
  <si>
    <t xml:space="preserve">Questions </t>
  </si>
  <si>
    <t>Formula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</si>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</sst>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8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1" topLeftCell="A2" activePane="bottomLeft" state="frozen"/>
      <selection pane="bottomLeft" activeCell="K26" sqref="K26"/>
    </sheetView>
  </sheetViews>
  <sheetFormatPr defaultRowHeight="14.4" x14ac:dyDescent="0.3"/>
  <cols>
    <col min="1" max="1" width="16" customWidth="1"/>
    <col min="2" max="2" width="12" customWidth="1"/>
    <col min="3" max="3" width="13" customWidth="1"/>
    <col min="4" max="4" width="15" customWidth="1"/>
    <col min="5" max="6" width="12" customWidth="1"/>
    <col min="7" max="7" width="13" customWidth="1"/>
    <col min="8" max="10" width="12" customWidth="1"/>
    <col min="11" max="11" width="2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69</v>
      </c>
    </row>
    <row r="2" spans="1:12" x14ac:dyDescent="0.3">
      <c r="A2">
        <v>1001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75000</v>
      </c>
      <c r="I2">
        <v>42000</v>
      </c>
      <c r="J2">
        <f t="shared" ref="J2:J13" si="0">H2-I2</f>
        <v>33000</v>
      </c>
      <c r="K2">
        <v>-50000</v>
      </c>
      <c r="L2" t="str">
        <f>IF(J2&gt;0,"profitable","loss")</f>
        <v>profitable</v>
      </c>
    </row>
    <row r="3" spans="1:12" x14ac:dyDescent="0.3">
      <c r="A3">
        <v>1002</v>
      </c>
      <c r="B3" s="2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>
        <v>52000</v>
      </c>
      <c r="I3">
        <v>28000</v>
      </c>
      <c r="J3">
        <f t="shared" si="0"/>
        <v>24000</v>
      </c>
      <c r="K3">
        <v>-30000</v>
      </c>
      <c r="L3" t="str">
        <f t="shared" ref="L3:L13" si="1">IF(J3&gt;0,"profitable","loss")</f>
        <v>profitable</v>
      </c>
    </row>
    <row r="4" spans="1:12" x14ac:dyDescent="0.3">
      <c r="A4">
        <v>1003</v>
      </c>
      <c r="B4" s="2" t="s">
        <v>22</v>
      </c>
      <c r="C4" t="s">
        <v>23</v>
      </c>
      <c r="D4" t="s">
        <v>24</v>
      </c>
      <c r="E4" t="s">
        <v>14</v>
      </c>
      <c r="F4" t="s">
        <v>15</v>
      </c>
      <c r="G4" t="s">
        <v>25</v>
      </c>
      <c r="H4">
        <v>90000</v>
      </c>
      <c r="I4">
        <v>51000</v>
      </c>
      <c r="J4">
        <f t="shared" si="0"/>
        <v>39000</v>
      </c>
      <c r="K4">
        <v>-75000</v>
      </c>
      <c r="L4" t="str">
        <f t="shared" si="1"/>
        <v>profitable</v>
      </c>
    </row>
    <row r="5" spans="1:12" x14ac:dyDescent="0.3">
      <c r="A5">
        <v>1004</v>
      </c>
      <c r="B5" s="2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16</v>
      </c>
      <c r="H5">
        <v>45000</v>
      </c>
      <c r="I5">
        <v>30000</v>
      </c>
      <c r="J5">
        <f t="shared" si="0"/>
        <v>15000</v>
      </c>
      <c r="K5">
        <v>10000</v>
      </c>
      <c r="L5" t="str">
        <f t="shared" si="1"/>
        <v>profitable</v>
      </c>
    </row>
    <row r="6" spans="1:12" x14ac:dyDescent="0.3">
      <c r="A6">
        <v>1005</v>
      </c>
      <c r="B6" s="2" t="s">
        <v>31</v>
      </c>
      <c r="C6" t="s">
        <v>32</v>
      </c>
      <c r="D6" t="s">
        <v>33</v>
      </c>
      <c r="E6" t="s">
        <v>14</v>
      </c>
      <c r="F6" t="s">
        <v>30</v>
      </c>
      <c r="G6" t="s">
        <v>21</v>
      </c>
      <c r="H6">
        <v>68000</v>
      </c>
      <c r="I6">
        <v>35000</v>
      </c>
      <c r="J6">
        <f t="shared" si="0"/>
        <v>33000</v>
      </c>
      <c r="K6">
        <v>-25000</v>
      </c>
      <c r="L6" t="str">
        <f t="shared" si="1"/>
        <v>profitable</v>
      </c>
    </row>
    <row r="7" spans="1:12" x14ac:dyDescent="0.3">
      <c r="A7">
        <v>1006</v>
      </c>
      <c r="B7" s="2" t="s">
        <v>34</v>
      </c>
      <c r="C7" t="s">
        <v>35</v>
      </c>
      <c r="D7" t="s">
        <v>36</v>
      </c>
      <c r="E7" t="s">
        <v>20</v>
      </c>
      <c r="F7" t="s">
        <v>30</v>
      </c>
      <c r="G7" t="s">
        <v>25</v>
      </c>
      <c r="H7">
        <v>110000</v>
      </c>
      <c r="I7">
        <v>62000</v>
      </c>
      <c r="J7">
        <f t="shared" si="0"/>
        <v>48000</v>
      </c>
      <c r="K7">
        <v>5000</v>
      </c>
      <c r="L7" t="str">
        <f t="shared" si="1"/>
        <v>profitable</v>
      </c>
    </row>
    <row r="8" spans="1:12" x14ac:dyDescent="0.3">
      <c r="A8">
        <v>1007</v>
      </c>
      <c r="B8" s="2" t="s">
        <v>37</v>
      </c>
      <c r="C8" t="s">
        <v>38</v>
      </c>
      <c r="D8" t="s">
        <v>39</v>
      </c>
      <c r="E8" t="s">
        <v>14</v>
      </c>
      <c r="F8" t="s">
        <v>40</v>
      </c>
      <c r="G8" t="s">
        <v>16</v>
      </c>
      <c r="H8">
        <v>82000</v>
      </c>
      <c r="I8">
        <v>47000</v>
      </c>
      <c r="J8">
        <f t="shared" si="0"/>
        <v>35000</v>
      </c>
      <c r="K8">
        <v>-20000</v>
      </c>
      <c r="L8" t="str">
        <f t="shared" si="1"/>
        <v>profitable</v>
      </c>
    </row>
    <row r="9" spans="1:12" x14ac:dyDescent="0.3">
      <c r="A9">
        <v>1008</v>
      </c>
      <c r="B9" s="2" t="s">
        <v>41</v>
      </c>
      <c r="C9" t="s">
        <v>42</v>
      </c>
      <c r="D9" t="s">
        <v>43</v>
      </c>
      <c r="E9" t="s">
        <v>29</v>
      </c>
      <c r="F9" t="s">
        <v>40</v>
      </c>
      <c r="G9" t="s">
        <v>21</v>
      </c>
      <c r="H9">
        <v>58000</v>
      </c>
      <c r="I9">
        <v>31000</v>
      </c>
      <c r="J9">
        <f t="shared" si="0"/>
        <v>27000</v>
      </c>
      <c r="K9">
        <v>15000</v>
      </c>
      <c r="L9" t="str">
        <f t="shared" si="1"/>
        <v>profitable</v>
      </c>
    </row>
    <row r="10" spans="1:12" x14ac:dyDescent="0.3">
      <c r="A10">
        <v>1009</v>
      </c>
      <c r="B10" s="2" t="s">
        <v>44</v>
      </c>
      <c r="C10" t="s">
        <v>45</v>
      </c>
      <c r="D10" t="s">
        <v>46</v>
      </c>
      <c r="E10" t="s">
        <v>20</v>
      </c>
      <c r="F10" t="s">
        <v>40</v>
      </c>
      <c r="G10" t="s">
        <v>25</v>
      </c>
      <c r="H10">
        <v>125000</v>
      </c>
      <c r="I10">
        <v>70000</v>
      </c>
      <c r="J10">
        <f t="shared" si="0"/>
        <v>55000</v>
      </c>
      <c r="K10">
        <v>30000</v>
      </c>
      <c r="L10" t="str">
        <f t="shared" si="1"/>
        <v>profitable</v>
      </c>
    </row>
    <row r="11" spans="1:12" x14ac:dyDescent="0.3">
      <c r="A11">
        <v>1010</v>
      </c>
      <c r="B11" s="2" t="s">
        <v>47</v>
      </c>
      <c r="C11" t="s">
        <v>48</v>
      </c>
      <c r="D11" t="s">
        <v>49</v>
      </c>
      <c r="E11" t="s">
        <v>14</v>
      </c>
      <c r="F11" t="s">
        <v>50</v>
      </c>
      <c r="G11" t="s">
        <v>16</v>
      </c>
      <c r="H11">
        <v>95000</v>
      </c>
      <c r="I11">
        <v>54000</v>
      </c>
      <c r="J11">
        <f t="shared" si="0"/>
        <v>41000</v>
      </c>
      <c r="K11">
        <v>-10000</v>
      </c>
      <c r="L11" t="str">
        <f t="shared" si="1"/>
        <v>profitable</v>
      </c>
    </row>
    <row r="12" spans="1:12" x14ac:dyDescent="0.3">
      <c r="A12">
        <v>1011</v>
      </c>
      <c r="B12" s="2" t="s">
        <v>51</v>
      </c>
      <c r="C12" t="s">
        <v>52</v>
      </c>
      <c r="D12" t="s">
        <v>53</v>
      </c>
      <c r="E12" t="s">
        <v>29</v>
      </c>
      <c r="F12" t="s">
        <v>50</v>
      </c>
      <c r="G12" t="s">
        <v>21</v>
      </c>
      <c r="H12">
        <v>61000</v>
      </c>
      <c r="I12">
        <v>33000</v>
      </c>
      <c r="J12">
        <f t="shared" si="0"/>
        <v>28000</v>
      </c>
      <c r="K12">
        <v>18000</v>
      </c>
      <c r="L12" t="str">
        <f t="shared" si="1"/>
        <v>profitable</v>
      </c>
    </row>
    <row r="13" spans="1:12" x14ac:dyDescent="0.3">
      <c r="A13">
        <v>1012</v>
      </c>
      <c r="B13" s="2" t="s">
        <v>54</v>
      </c>
      <c r="C13" t="s">
        <v>55</v>
      </c>
      <c r="D13" t="s">
        <v>56</v>
      </c>
      <c r="E13" t="s">
        <v>20</v>
      </c>
      <c r="F13" t="s">
        <v>50</v>
      </c>
      <c r="G13" t="s">
        <v>25</v>
      </c>
      <c r="H13">
        <v>135000</v>
      </c>
      <c r="I13">
        <v>76000</v>
      </c>
      <c r="J13">
        <f t="shared" si="0"/>
        <v>59000</v>
      </c>
      <c r="K13">
        <v>45000</v>
      </c>
      <c r="L13" t="str">
        <f t="shared" si="1"/>
        <v>profitable</v>
      </c>
    </row>
    <row r="16" spans="1:12" ht="23.4" x14ac:dyDescent="0.45">
      <c r="C16" s="6" t="s">
        <v>67</v>
      </c>
      <c r="D16" s="6"/>
      <c r="E16" s="6"/>
      <c r="F16" s="6"/>
      <c r="G16" s="6"/>
      <c r="H16" s="6"/>
      <c r="I16" s="7" t="s">
        <v>68</v>
      </c>
    </row>
    <row r="17" spans="3:11" ht="18" x14ac:dyDescent="0.35">
      <c r="C17" s="4" t="s">
        <v>62</v>
      </c>
      <c r="D17" s="4"/>
      <c r="E17" s="4"/>
      <c r="F17" s="4"/>
      <c r="G17" s="4"/>
      <c r="H17" s="4"/>
      <c r="I17" s="5" t="s">
        <v>59</v>
      </c>
      <c r="K17" s="3"/>
    </row>
    <row r="18" spans="3:11" ht="18" x14ac:dyDescent="0.35">
      <c r="C18" s="4" t="s">
        <v>63</v>
      </c>
      <c r="D18" s="4"/>
      <c r="E18" s="4"/>
      <c r="F18" s="4"/>
      <c r="G18" s="4"/>
      <c r="H18" s="4"/>
      <c r="I18" s="5" t="s">
        <v>60</v>
      </c>
    </row>
    <row r="19" spans="3:11" ht="18" x14ac:dyDescent="0.35">
      <c r="C19" s="4" t="s">
        <v>64</v>
      </c>
      <c r="D19" s="4"/>
      <c r="E19" s="4"/>
      <c r="F19" s="4"/>
      <c r="G19" s="4"/>
      <c r="H19" s="4"/>
      <c r="I19" s="5" t="s">
        <v>61</v>
      </c>
    </row>
    <row r="20" spans="3:11" ht="18" x14ac:dyDescent="0.35">
      <c r="C20" s="4" t="s">
        <v>65</v>
      </c>
      <c r="D20" s="4"/>
      <c r="E20" s="4"/>
      <c r="F20" s="4"/>
      <c r="G20" s="4"/>
      <c r="H20" s="4"/>
      <c r="I20" s="5" t="s">
        <v>57</v>
      </c>
    </row>
    <row r="21" spans="3:11" ht="18" x14ac:dyDescent="0.35">
      <c r="C21" s="4" t="s">
        <v>66</v>
      </c>
      <c r="D21" s="4"/>
      <c r="E21" s="4"/>
      <c r="F21" s="4"/>
      <c r="G21" s="4"/>
      <c r="H21" s="4"/>
      <c r="I21" s="5" t="s">
        <v>58</v>
      </c>
    </row>
  </sheetData>
  <mergeCells count="6">
    <mergeCell ref="C17:H17"/>
    <mergeCell ref="C18:H18"/>
    <mergeCell ref="C19:H19"/>
    <mergeCell ref="C20:H20"/>
    <mergeCell ref="C21:H21"/>
    <mergeCell ref="C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633E-8DE0-4D9F-8087-053C119D00DC}">
  <dimension ref="B2:M19"/>
  <sheetViews>
    <sheetView workbookViewId="0">
      <selection activeCell="E23" sqref="E23"/>
    </sheetView>
  </sheetViews>
  <sheetFormatPr defaultRowHeight="14.4" x14ac:dyDescent="0.3"/>
  <cols>
    <col min="2" max="2" width="13.109375" bestFit="1" customWidth="1"/>
    <col min="3" max="3" width="10.33203125" bestFit="1" customWidth="1"/>
    <col min="4" max="4" width="11.33203125" bestFit="1" customWidth="1"/>
    <col min="5" max="5" width="14.6640625" bestFit="1" customWidth="1"/>
    <col min="6" max="6" width="7.6640625" bestFit="1" customWidth="1"/>
    <col min="7" max="7" width="8.109375" bestFit="1" customWidth="1"/>
    <col min="8" max="8" width="10.88671875" bestFit="1" customWidth="1"/>
    <col min="9" max="9" width="7" bestFit="1" customWidth="1"/>
    <col min="10" max="10" width="8.6640625" bestFit="1" customWidth="1"/>
    <col min="11" max="11" width="6" bestFit="1" customWidth="1"/>
    <col min="12" max="12" width="19.5546875" bestFit="1" customWidth="1"/>
    <col min="13" max="13" width="9" bestFit="1" customWidth="1"/>
  </cols>
  <sheetData>
    <row r="2" spans="2:13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3">
      <c r="C3" s="2"/>
    </row>
    <row r="4" spans="2:13" x14ac:dyDescent="0.3">
      <c r="C4" s="2"/>
    </row>
    <row r="5" spans="2:13" x14ac:dyDescent="0.3">
      <c r="C5" s="2"/>
    </row>
    <row r="6" spans="2:13" x14ac:dyDescent="0.3">
      <c r="C6" s="2"/>
    </row>
    <row r="7" spans="2:13" x14ac:dyDescent="0.3">
      <c r="C7" s="2"/>
    </row>
    <row r="8" spans="2:13" x14ac:dyDescent="0.3">
      <c r="C8" s="2"/>
    </row>
    <row r="9" spans="2:13" x14ac:dyDescent="0.3">
      <c r="C9" s="2"/>
    </row>
    <row r="10" spans="2:13" x14ac:dyDescent="0.3">
      <c r="C10" s="2"/>
    </row>
    <row r="11" spans="2:13" x14ac:dyDescent="0.3">
      <c r="C11" s="2"/>
    </row>
    <row r="12" spans="2:13" x14ac:dyDescent="0.3">
      <c r="C12" s="2"/>
    </row>
    <row r="13" spans="2:13" x14ac:dyDescent="0.3">
      <c r="C13" s="2"/>
    </row>
    <row r="14" spans="2:13" x14ac:dyDescent="0.3">
      <c r="C14" s="2"/>
    </row>
    <row r="19" spans="7:7" x14ac:dyDescent="0.3">
      <c r="G19" t="e">
        <f ca="1">XLOOKUP(D8,D3:D14,I3:I14,"not found")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2026-09-06T16:33:35Z</dcterms:created>
  <dcterms:modified xsi:type="dcterms:W3CDTF">2026-09-06T18:25:30Z</dcterms:modified>
</cp:coreProperties>
</file>